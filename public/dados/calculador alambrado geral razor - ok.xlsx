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1452" activeTab="1"/>
  </bookViews>
  <sheets>
    <sheet name="PRAZO DE PRODUÇÃO" sheetId="1" r:id="rId1"/>
    <sheet name="MATERIAIS PARA MURETA" sheetId="2" r:id="rId2"/>
    <sheet name="PESO ALAMBR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<sst xmlns="http://schemas.openxmlformats.org/spreadsheetml/2006/main" count="80" uniqueCount="65">
  <si>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CALCULADORA PRAZO DE PRODUÇÃO</t>
  </si>
  <si>
    <t>CALCULADORA CENTIMETRO PARA METRO</t>
  </si>
  <si>
    <t>MALHA</t>
  </si>
  <si>
    <t>ESCOLHER A MALHA</t>
  </si>
  <si>
    <t>CONVERSÃO 
CM - METRO</t>
  </si>
  <si>
    <t>M2/HORA</t>
  </si>
  <si>
    <t>M2 POR PERIODO 4H</t>
  </si>
  <si>
    <t>M2 POR HORA</t>
  </si>
  <si>
    <t>M2 POR MINUTO</t>
  </si>
  <si>
    <t>CALCULADOR DE CONVERSÃO DE CM PARA METROS</t>
  </si>
  <si>
    <t>CM</t>
  </si>
  <si>
    <r>
      <rPr>
        <b/>
        <sz val="11"/>
        <color theme="0"/>
        <rFont val="Calibri"/>
        <charset val="134"/>
        <scheme val="minor"/>
      </rPr>
      <t xml:space="preserve">COMPRIMENTO
</t>
    </r>
    <r>
      <rPr>
        <b/>
        <sz val="8"/>
        <color theme="0"/>
        <rFont val="Calibri"/>
        <charset val="134"/>
        <scheme val="minor"/>
      </rPr>
      <t>(METROS)</t>
    </r>
  </si>
  <si>
    <r>
      <rPr>
        <b/>
        <sz val="11"/>
        <color theme="0"/>
        <rFont val="Calibri"/>
        <charset val="134"/>
        <scheme val="minor"/>
      </rPr>
      <t>ALTURA</t>
    </r>
    <r>
      <rPr>
        <b/>
        <sz val="8"/>
        <color theme="0"/>
        <rFont val="Calibri"/>
        <charset val="134"/>
        <scheme val="minor"/>
      </rPr>
      <t xml:space="preserve">
(METROS)</t>
    </r>
  </si>
  <si>
    <t>QUANTIDADE</t>
  </si>
  <si>
    <t>ESSAS INFORMAÇÕES DEVEM SER PREENCHIDAS</t>
  </si>
  <si>
    <t>METRO</t>
  </si>
  <si>
    <t>METRO LINEAR
TOTAL</t>
  </si>
  <si>
    <t>M2 TOTAL</t>
  </si>
  <si>
    <r>
      <rPr>
        <b/>
        <sz val="11"/>
        <color theme="1"/>
        <rFont val="Calibri"/>
        <charset val="134"/>
        <scheme val="minor"/>
      </rPr>
      <t xml:space="preserve">MEDIDAS PARA ORÇAMENTO
</t>
    </r>
    <r>
      <rPr>
        <b/>
        <sz val="8"/>
        <color theme="1"/>
        <rFont val="Calibri"/>
        <charset val="134"/>
        <scheme val="minor"/>
      </rPr>
      <t>PREENCHIMETNO AUTOMATICO</t>
    </r>
  </si>
  <si>
    <t>HORAS DE FABRICAÇÃO</t>
  </si>
  <si>
    <t>DIAS DE FABRICAÇÃO</t>
  </si>
  <si>
    <t>PREVISÃO DE ENTREGA
DIAS UTEIS</t>
  </si>
  <si>
    <t>TEMPO DE PRODUÇÃO EM DIAS</t>
  </si>
  <si>
    <t>NEGOCIAR ESSE CENÁRIO AO CLIENTE</t>
  </si>
  <si>
    <t>ATENÇÃO</t>
  </si>
  <si>
    <t>* ESSES PRAZOS DEVEM SER ACRESCIDO AOS DEMAIS PEDIDOS JÁ EM FILA DE PRODUÇÃO
** ESSA TABELA SOMENTE FUNCIONA COM MEDIDAS EM METROS</t>
  </si>
  <si>
    <t>CALCULADORA MATERIAIS PARA MURETA</t>
  </si>
  <si>
    <t>METROS LINEARES</t>
  </si>
  <si>
    <t>FIADA BLOCO DE CIMENTO 15</t>
  </si>
  <si>
    <t>FIADA CANALETA CIMENTO 15</t>
  </si>
  <si>
    <t>ALTURA DA MURETA</t>
  </si>
  <si>
    <t>BLOCO</t>
  </si>
  <si>
    <t>MATERIAIS NECESSÁRIOS</t>
  </si>
  <si>
    <t>CANALETA</t>
  </si>
  <si>
    <t>UNIDADES</t>
  </si>
  <si>
    <t>SACO DE CIMENTO</t>
  </si>
  <si>
    <t>MEIO BLOCO DE CONCRETO</t>
  </si>
  <si>
    <t>CANALETA ESTRUTURAL DE CONCRETO</t>
  </si>
  <si>
    <t>CIMENTO</t>
  </si>
  <si>
    <t>MEIA CANALETA ESTRUTURAL DE CONCRETO</t>
  </si>
  <si>
    <t>SACO DE CIMENTO 50KG</t>
  </si>
  <si>
    <t>SACOS</t>
  </si>
  <si>
    <t>METRO AREIA MEDIA</t>
  </si>
  <si>
    <t xml:space="preserve">METRO DE AREIA </t>
  </si>
  <si>
    <t>METRO PEDRISCO</t>
  </si>
  <si>
    <t>METRO DE PEDRISCO</t>
  </si>
  <si>
    <t>ARAME</t>
  </si>
  <si>
    <t>DADOS</t>
  </si>
  <si>
    <t>Peso por M²</t>
  </si>
  <si>
    <t>2,5|16</t>
  </si>
  <si>
    <t>2,5|14</t>
  </si>
  <si>
    <t>ARAME (BWG)</t>
  </si>
  <si>
    <t>5|12</t>
  </si>
  <si>
    <t>ALTURA</t>
  </si>
  <si>
    <t>5|14</t>
  </si>
  <si>
    <t>QUANTIDADE DE BOBINAS</t>
  </si>
  <si>
    <t>5|16</t>
  </si>
  <si>
    <t>8|12</t>
  </si>
  <si>
    <t>PESO</t>
  </si>
  <si>
    <t>8|14</t>
  </si>
  <si>
    <t>BOBINA</t>
  </si>
  <si>
    <t>KG</t>
  </si>
  <si>
    <t>10|12</t>
  </si>
  <si>
    <t>TOTAL</t>
  </si>
  <si>
    <t>10|14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</si>
</sst>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8">
    <font>
      <sz val="11"/>
      <color theme="1"/>
      <name val="Calibri"/>
      <charset val="134"/>
      <scheme val="minor"/>
    </font>
    <font>
      <sz val="11"/>
      <color rgb="FF212529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rgb="FF495057"/>
      </left>
      <right style="medium">
        <color rgb="FFDEE2E6"/>
      </right>
      <top style="medium">
        <color rgb="FFDEE2E6"/>
      </top>
      <bottom style="medium">
        <color rgb="FF49505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33" applyNumberFormat="0" applyAlignment="0" applyProtection="0">
      <alignment vertical="center"/>
    </xf>
    <xf numFmtId="0" fontId="16" fillId="8" borderId="34" applyNumberFormat="0" applyAlignment="0" applyProtection="0">
      <alignment vertical="center"/>
    </xf>
    <xf numFmtId="0" fontId="17" fillId="8" borderId="33" applyNumberFormat="0" applyAlignment="0" applyProtection="0">
      <alignment vertical="center"/>
    </xf>
    <xf numFmtId="0" fontId="18" fillId="9" borderId="35" applyNumberFormat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7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/>
    <xf numFmtId="0" fontId="0" fillId="0" borderId="7" xfId="0" applyBorder="1" applyAlignment="1" applyProtection="1">
      <alignment horizontal="center"/>
      <protection locked="0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0" borderId="10" xfId="0" applyFont="1" applyBorder="1"/>
    <xf numFmtId="180" fontId="0" fillId="0" borderId="1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2" xfId="0" applyFont="1" applyBorder="1"/>
    <xf numFmtId="180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/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0" borderId="19" xfId="0" applyBorder="1" applyAlignment="1" applyProtection="1">
      <alignment horizontal="center"/>
    </xf>
    <xf numFmtId="0" fontId="2" fillId="0" borderId="0" xfId="0" applyFont="1" applyFill="1" applyAlignment="1">
      <alignment horizontal="center" vertical="center" wrapText="1"/>
    </xf>
    <xf numFmtId="1" fontId="0" fillId="0" borderId="11" xfId="0" applyNumberFormat="1" applyBorder="1" applyAlignment="1" applyProtection="1">
      <alignment horizontal="center"/>
    </xf>
    <xf numFmtId="180" fontId="0" fillId="0" borderId="11" xfId="0" applyNumberFormat="1" applyBorder="1" applyAlignment="1" applyProtection="1">
      <alignment horizontal="center"/>
    </xf>
    <xf numFmtId="180" fontId="0" fillId="0" borderId="13" xfId="0" applyNumberFormat="1" applyBorder="1" applyAlignment="1" applyProtection="1">
      <alignment horizontal="center"/>
    </xf>
    <xf numFmtId="0" fontId="0" fillId="0" borderId="0" xfId="0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24" xfId="0" applyBorder="1" applyAlignment="1" applyProtection="1">
      <alignment horizontal="center"/>
      <protection locked="0"/>
    </xf>
    <xf numFmtId="0" fontId="3" fillId="4" borderId="25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180" fontId="0" fillId="0" borderId="0" xfId="0" applyNumberForma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4" borderId="22" xfId="0" applyFont="1" applyFill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/>
    </xf>
    <xf numFmtId="180" fontId="0" fillId="0" borderId="29" xfId="0" applyNumberFormat="1" applyBorder="1" applyAlignment="1">
      <alignment horizontal="center"/>
    </xf>
    <xf numFmtId="180" fontId="2" fillId="0" borderId="26" xfId="0" applyNumberFormat="1" applyFont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0" fontId="3" fillId="5" borderId="20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2" fillId="3" borderId="20" xfId="0" applyFont="1" applyFill="1" applyBorder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23"/>
  <sheetViews>
    <sheetView showGridLines="0" showRowColHeaders="0" workbookViewId="0">
      <selection activeCell="B9" sqref="B9"/>
    </sheetView>
  </sheetViews>
  <sheetFormatPr defaultColWidth="9" defaultRowHeight="14.25"/>
  <cols>
    <col min="1" max="1" width="2.56880733944954" customWidth="1"/>
    <col min="2" max="2" width="15.1376146788991" style="1" customWidth="1"/>
    <col min="3" max="3" width="14.2844036697248" customWidth="1"/>
    <col min="4" max="4" width="13.1376146788991" style="1" customWidth="1"/>
    <col min="5" max="5" width="5.28440366972477" style="1" customWidth="1"/>
    <col min="6" max="6" width="10.4220183486239" style="1" customWidth="1"/>
    <col min="7" max="7" width="9.56880733944954" style="1" customWidth="1"/>
    <col min="8" max="8" width="11.2844036697248" style="1" customWidth="1"/>
    <col min="9" max="9" width="9.56880733944954" style="1" customWidth="1"/>
    <col min="10" max="10" width="13.5688073394495" style="1" customWidth="1"/>
    <col min="11" max="18" width="9.56880733944954" style="1" customWidth="1"/>
    <col min="19" max="19" width="12.8532110091743" style="1" customWidth="1"/>
    <col min="20" max="20" width="1.85321100917431" style="1" customWidth="1"/>
    <col min="21" max="21" width="22.2844036697248" style="1" customWidth="1"/>
    <col min="22" max="22" width="8.28440366972477" style="1" customWidth="1"/>
    <col min="23" max="23" width="15.8532110091743" style="1" customWidth="1"/>
    <col min="24" max="24" width="7.42201834862385" customWidth="1"/>
    <col min="25" max="25" width="19.2844036697248" customWidth="1"/>
    <col min="26" max="26" width="13.5688073394495" customWidth="1"/>
    <col min="27" max="27" width="15.8532110091743" customWidth="1"/>
  </cols>
  <sheetData>
    <row r="2" ht="15"/>
    <row r="3" s="36" customFormat="1" ht="24.75" customHeight="1" spans="2:27">
      <c r="B3" s="37" t="s">
        <v>0</v>
      </c>
      <c r="C3" s="38"/>
      <c r="D3" s="38"/>
      <c r="E3" s="38"/>
      <c r="F3" s="38"/>
      <c r="G3" s="38"/>
      <c r="H3" s="39"/>
      <c r="I3" s="40"/>
      <c r="J3" s="37" t="s">
        <v>1</v>
      </c>
      <c r="K3" s="38"/>
      <c r="L3" s="38"/>
      <c r="M3" s="38"/>
      <c r="N3" s="38"/>
      <c r="O3" s="39"/>
      <c r="P3" s="40"/>
      <c r="Q3" s="40"/>
      <c r="R3" s="40"/>
      <c r="S3" s="40"/>
      <c r="T3" s="40"/>
      <c r="U3" s="40"/>
      <c r="V3" s="40"/>
    </row>
    <row r="4" ht="6" customHeight="1" spans="2:27">
      <c r="C4" s="1"/>
    </row>
    <row r="5" s="36" customFormat="1" ht="15.75" customHeight="1" spans="2:27">
      <c r="D5" s="41" t="s">
        <v>2</v>
      </c>
      <c r="F5" s="14" t="s">
        <v>3</v>
      </c>
      <c r="G5" s="14"/>
      <c r="H5" s="14"/>
      <c r="J5" s="42" t="s">
        <v>4</v>
      </c>
      <c r="K5" s="43"/>
      <c r="L5" s="44"/>
      <c r="M5" s="44"/>
      <c r="N5" s="44"/>
      <c r="T5" s="4"/>
      <c r="U5" s="40"/>
      <c r="V5" s="40" t="s">
        <v>5</v>
      </c>
      <c r="W5" s="40"/>
      <c r="X5" s="40" t="s">
        <v>2</v>
      </c>
      <c r="Y5" s="40" t="s">
        <v>6</v>
      </c>
      <c r="Z5" s="40" t="s">
        <v>7</v>
      </c>
      <c r="AA5" s="40" t="s">
        <v>8</v>
      </c>
    </row>
    <row r="6" ht="15" spans="2:27">
      <c r="D6" s="45">
        <v>5</v>
      </c>
      <c r="F6" s="14"/>
      <c r="G6" s="14"/>
      <c r="H6" s="14"/>
      <c r="J6" s="46"/>
      <c r="K6" s="47"/>
      <c r="M6" s="14" t="s">
        <v>9</v>
      </c>
      <c r="N6" s="14"/>
      <c r="O6" s="14"/>
      <c r="U6" s="48"/>
      <c r="V6" s="49">
        <f>VLOOKUP(D6,X5:AA9,3,0)</f>
        <v>8.66666666666667</v>
      </c>
      <c r="W6" s="49"/>
      <c r="X6" s="1">
        <v>2.5</v>
      </c>
      <c r="Y6" s="48">
        <f>AA6*240</f>
        <v>17.3333333333333</v>
      </c>
      <c r="Z6" s="48">
        <f>Y6/4</f>
        <v>4.33333333333333</v>
      </c>
      <c r="AA6" s="49">
        <f>(X6*AA7)/X7</f>
        <v>0.0722222222222222</v>
      </c>
    </row>
    <row r="7" ht="15" spans="2:27">
      <c r="F7" s="50"/>
      <c r="G7" s="50"/>
      <c r="H7" s="50"/>
      <c r="J7" s="51" t="s">
        <v>10</v>
      </c>
      <c r="K7" s="52">
        <v>50</v>
      </c>
      <c r="M7" s="14"/>
      <c r="N7" s="14"/>
      <c r="O7" s="14"/>
      <c r="X7" s="1">
        <v>5</v>
      </c>
      <c r="Y7" s="48">
        <f>AA7*240</f>
        <v>34.6666666666667</v>
      </c>
      <c r="Z7" s="49">
        <f>Y7/4</f>
        <v>8.66666666666667</v>
      </c>
      <c r="AA7" s="49">
        <f>(X7*AA8)/X8</f>
        <v>0.144444444444444</v>
      </c>
    </row>
    <row r="8" ht="25.9" spans="2:27">
      <c r="B8" s="53" t="s">
        <v>11</v>
      </c>
      <c r="C8" s="54" t="s">
        <v>12</v>
      </c>
      <c r="D8" s="55" t="s">
        <v>13</v>
      </c>
      <c r="F8" s="14" t="s">
        <v>14</v>
      </c>
      <c r="G8" s="14"/>
      <c r="H8" s="14"/>
      <c r="J8" s="56" t="s">
        <v>15</v>
      </c>
      <c r="K8" s="57">
        <f>K7/100</f>
        <v>0.5</v>
      </c>
      <c r="X8" s="1">
        <v>7.5</v>
      </c>
      <c r="Y8" s="1">
        <f>26*2</f>
        <v>52</v>
      </c>
      <c r="Z8" s="1">
        <f>Y8/4</f>
        <v>13</v>
      </c>
      <c r="AA8" s="49">
        <f>Y8/240</f>
        <v>0.216666666666667</v>
      </c>
    </row>
    <row r="9" ht="15" spans="2:27">
      <c r="B9" s="58">
        <v>240</v>
      </c>
      <c r="C9" s="59">
        <v>1.7</v>
      </c>
      <c r="D9" s="60">
        <v>1</v>
      </c>
      <c r="F9" s="14"/>
      <c r="G9" s="14"/>
      <c r="H9" s="14"/>
      <c r="X9" s="1">
        <v>10</v>
      </c>
      <c r="Y9" s="48">
        <f>AA9*240</f>
        <v>69.3333333333333</v>
      </c>
      <c r="Z9" s="48">
        <f>Y9/4</f>
        <v>17.3333333333333</v>
      </c>
      <c r="AA9" s="61">
        <f>(X9*AA8)/X8</f>
        <v>0.288888888888889</v>
      </c>
    </row>
    <row r="10" ht="15" spans="2:27">
      <c r="F10" s="50"/>
      <c r="G10" s="50"/>
      <c r="H10" s="50"/>
    </row>
    <row r="11" ht="29.3" spans="2:27">
      <c r="C11" s="53" t="s">
        <v>16</v>
      </c>
      <c r="D11" s="55" t="s">
        <v>17</v>
      </c>
      <c r="F11" s="14" t="s">
        <v>18</v>
      </c>
      <c r="G11" s="14"/>
      <c r="H11" s="14"/>
    </row>
    <row r="12" ht="15" spans="2:27">
      <c r="C12" s="62">
        <f>B9*D9</f>
        <v>240</v>
      </c>
      <c r="D12" s="63">
        <f>C12*C9</f>
        <v>408</v>
      </c>
      <c r="F12" s="14"/>
      <c r="G12" s="14"/>
      <c r="H12" s="14"/>
    </row>
    <row r="13" ht="15" spans="2:27">
      <c r="F13" s="50"/>
      <c r="G13" s="50"/>
      <c r="H13" s="50"/>
    </row>
    <row r="14" ht="43.55" spans="2:27">
      <c r="B14" s="53" t="s">
        <v>19</v>
      </c>
      <c r="C14" s="54" t="s">
        <v>20</v>
      </c>
      <c r="D14" s="64" t="s">
        <v>21</v>
      </c>
      <c r="F14" s="14" t="s">
        <v>22</v>
      </c>
      <c r="G14" s="14"/>
      <c r="H14" s="14"/>
    </row>
    <row r="15" ht="15" spans="2:27">
      <c r="B15" s="65">
        <f>D12/V6</f>
        <v>47.0769230769231</v>
      </c>
      <c r="C15" s="66">
        <f>B15/8</f>
        <v>5.88461538461538</v>
      </c>
      <c r="D15" s="67">
        <f>C15+(C15*12%)</f>
        <v>6.59076923076923</v>
      </c>
      <c r="F15" s="14"/>
      <c r="G15" s="14"/>
      <c r="H15" s="14"/>
    </row>
    <row r="16" ht="40.75" spans="2:27">
      <c r="D16" s="68" t="s">
        <v>23</v>
      </c>
    </row>
    <row r="17" ht="15"/>
    <row r="18" ht="15" spans="2:8">
      <c r="B18" s="69" t="s">
        <v>24</v>
      </c>
      <c r="C18" s="70"/>
      <c r="D18" s="70"/>
      <c r="E18" s="70"/>
      <c r="F18" s="70"/>
      <c r="G18" s="70"/>
      <c r="H18" s="71"/>
    </row>
    <row r="19" ht="38.25" customHeight="1" spans="2:8">
      <c r="B19" s="72" t="s">
        <v>25</v>
      </c>
      <c r="C19" s="73"/>
      <c r="D19" s="73"/>
      <c r="E19" s="73"/>
      <c r="F19" s="73"/>
      <c r="G19" s="73"/>
      <c r="H19" s="74"/>
    </row>
    <row r="20" spans="2:8">
      <c r="B20" s="50"/>
    </row>
    <row r="23" spans="2:8">
      <c r="B23" s="40"/>
    </row>
  </sheetData>
  <sheetProtection algorithmName="SHA-512" hashValue="cSKZKGiPchnqptnyHacLX9T9kt7V/OusRAgWfDFZpC+IbDyjqD8gQE8PURUDRZjLqhmrq36C0gk290osqZCNFQ==" saltValue="+iBnuoKzg4w3VQcoV6RPmQ==" spinCount="100000" sheet="1" selectLockedCells="1" objects="1" scenarios="1"/>
  <mergeCells count="10">
    <mergeCell ref="B3:H3"/>
    <mergeCell ref="J3:O3"/>
    <mergeCell ref="B18:H18"/>
    <mergeCell ref="B19:H19"/>
    <mergeCell ref="J5:K6"/>
    <mergeCell ref="F8:H9"/>
    <mergeCell ref="F5:H6"/>
    <mergeCell ref="F11:H12"/>
    <mergeCell ref="F14:H15"/>
    <mergeCell ref="M6:O7"/>
  </mergeCells>
  <dataValidations count="1">
    <dataValidation type="list" allowBlank="1" showInputMessage="1" showErrorMessage="1" sqref="D6">
      <formula1>$X$6:$X$9</formula1>
    </dataValidation>
  </dataValidations>
  <pageMargins left="0.511811024" right="0.511811024" top="0.787401575" bottom="0.787401575" header="0.31496062" footer="0.31496062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5"/>
  <sheetViews>
    <sheetView showGridLines="0" tabSelected="1" workbookViewId="0">
      <selection activeCell="C4" sqref="C4"/>
    </sheetView>
  </sheetViews>
  <sheetFormatPr defaultColWidth="8.85321100917431" defaultRowHeight="14.25"/>
  <cols>
    <col min="2" max="2" width="42.8807339449541" customWidth="1"/>
    <col min="3" max="3" width="8.47706422018349" style="22" customWidth="1"/>
    <col min="9" max="9" width="16.7064220183486" hidden="1" customWidth="1"/>
    <col min="10" max="10" width="8.85321100917431" hidden="1" customWidth="1"/>
  </cols>
  <sheetData>
    <row r="2" spans="2:10">
      <c r="B2" s="5" t="s">
        <v>26</v>
      </c>
      <c r="C2" s="6"/>
      <c r="D2" s="6"/>
      <c r="E2" s="6"/>
      <c r="F2" s="6"/>
      <c r="G2" s="7"/>
    </row>
    <row r="3" ht="14.45" customHeight="1" spans="2:10">
      <c r="B3" s="11" t="s">
        <v>27</v>
      </c>
      <c r="C3" s="12">
        <v>100</v>
      </c>
      <c r="D3" s="23"/>
      <c r="E3" s="24" t="s">
        <v>14</v>
      </c>
      <c r="F3" s="24"/>
      <c r="G3" s="25"/>
    </row>
    <row r="4" ht="14.45" customHeight="1" spans="2:10">
      <c r="B4" s="11" t="s">
        <v>28</v>
      </c>
      <c r="C4" s="12">
        <v>1</v>
      </c>
      <c r="E4" s="14"/>
      <c r="F4" s="14"/>
      <c r="G4" s="26"/>
    </row>
    <row r="5" spans="2:10">
      <c r="B5" s="11" t="s">
        <v>29</v>
      </c>
      <c r="C5" s="12">
        <v>1</v>
      </c>
      <c r="D5" s="27"/>
      <c r="E5" s="28"/>
      <c r="F5" s="28"/>
      <c r="G5" s="29"/>
    </row>
    <row r="6" spans="2:10">
      <c r="B6" s="30" t="s">
        <v>30</v>
      </c>
      <c r="C6" s="31">
        <f>(C4+C5)*20</f>
        <v>40</v>
      </c>
      <c r="D6" t="s">
        <v>10</v>
      </c>
      <c r="E6" s="32"/>
      <c r="F6" s="32"/>
      <c r="G6" s="32"/>
    </row>
    <row r="7" ht="15" spans="2:10">
      <c r="I7" t="s">
        <v>31</v>
      </c>
      <c r="J7">
        <v>2.5</v>
      </c>
    </row>
    <row r="8" spans="2:10">
      <c r="B8" s="15" t="s">
        <v>32</v>
      </c>
      <c r="C8" s="16"/>
      <c r="I8" t="s">
        <v>33</v>
      </c>
      <c r="J8">
        <v>2.5</v>
      </c>
    </row>
    <row r="9" spans="2:10">
      <c r="B9" s="17" t="s">
        <v>31</v>
      </c>
      <c r="C9" s="33">
        <f>(C3*J7)*C4</f>
        <v>250</v>
      </c>
      <c r="D9" s="19" t="s">
        <v>34</v>
      </c>
      <c r="I9" t="s">
        <v>35</v>
      </c>
      <c r="J9">
        <v>0.15</v>
      </c>
    </row>
    <row r="10" ht="12" customHeight="1" spans="2:10">
      <c r="B10" s="17" t="s">
        <v>36</v>
      </c>
      <c r="C10" s="33">
        <f>C9*15%</f>
        <v>37.5</v>
      </c>
      <c r="D10" s="19" t="s">
        <v>34</v>
      </c>
    </row>
    <row r="11" spans="2:10">
      <c r="B11" s="17" t="s">
        <v>37</v>
      </c>
      <c r="C11" s="33">
        <f>C3*J8</f>
        <v>250</v>
      </c>
      <c r="D11" s="19" t="s">
        <v>34</v>
      </c>
      <c r="I11" t="s">
        <v>38</v>
      </c>
      <c r="J11">
        <f>13/100</f>
        <v>0.13</v>
      </c>
    </row>
    <row r="12" spans="2:10">
      <c r="B12" s="17" t="s">
        <v>39</v>
      </c>
      <c r="C12" s="33">
        <f>C11*15%</f>
        <v>37.5</v>
      </c>
      <c r="D12" s="19"/>
    </row>
    <row r="13" spans="2:10">
      <c r="B13" s="17" t="s">
        <v>40</v>
      </c>
      <c r="C13" s="33">
        <f>C3*J11</f>
        <v>13</v>
      </c>
      <c r="D13" s="19" t="s">
        <v>41</v>
      </c>
      <c r="I13" t="s">
        <v>42</v>
      </c>
      <c r="J13">
        <f>3/100</f>
        <v>0.03</v>
      </c>
    </row>
    <row r="14" spans="2:10">
      <c r="B14" s="17" t="s">
        <v>43</v>
      </c>
      <c r="C14" s="34">
        <f>C3*J13</f>
        <v>3</v>
      </c>
      <c r="D14" s="19" t="s">
        <v>15</v>
      </c>
      <c r="I14" t="s">
        <v>44</v>
      </c>
      <c r="J14">
        <f>J13/2</f>
        <v>0.015</v>
      </c>
    </row>
    <row r="15" ht="15" spans="2:10">
      <c r="B15" s="20" t="s">
        <v>45</v>
      </c>
      <c r="C15" s="35">
        <f>C3*J14</f>
        <v>1.5</v>
      </c>
      <c r="D15" s="19" t="s">
        <v>15</v>
      </c>
    </row>
  </sheetData>
  <sheetProtection sheet="1" selectLockedCells="1" objects="1"/>
  <mergeCells count="3">
    <mergeCell ref="B2:G2"/>
    <mergeCell ref="B8:C8"/>
    <mergeCell ref="E3:G5"/>
  </mergeCells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1"/>
  <sheetViews>
    <sheetView showGridLines="0" workbookViewId="0">
      <selection activeCell="C3" sqref="C3:C7"/>
    </sheetView>
  </sheetViews>
  <sheetFormatPr defaultColWidth="9" defaultRowHeight="14.25"/>
  <cols>
    <col min="2" max="2" width="23.5688073394495" customWidth="1"/>
    <col min="3" max="3" width="8.85321100917431" style="1"/>
    <col min="9" max="10" width="8.85321100917431" hidden="1" customWidth="1"/>
    <col min="11" max="12" width="8.85321100917431" style="1" hidden="1" customWidth="1"/>
    <col min="13" max="14" width="8.85321100917431" hidden="1" customWidth="1"/>
    <col min="15" max="15" width="8.85321100917431" style="2" hidden="1" customWidth="1"/>
    <col min="16" max="16" width="8.85321100917431" style="1" hidden="1" customWidth="1"/>
    <col min="17" max="18" width="10.8532110091743" style="1" hidden="1" customWidth="1"/>
    <col min="19" max="19" width="8.85321100917431" style="1" hidden="1" customWidth="1"/>
  </cols>
  <sheetData>
    <row r="1" ht="27.9" spans="2:19">
      <c r="P1" s="3" t="s">
        <v>2</v>
      </c>
      <c r="Q1" s="4" t="s">
        <v>46</v>
      </c>
      <c r="R1" s="4" t="s">
        <v>47</v>
      </c>
      <c r="S1" s="3" t="s">
        <v>48</v>
      </c>
    </row>
    <row r="2" ht="15" spans="2:19">
      <c r="B2" s="5" t="s">
        <v>26</v>
      </c>
      <c r="C2" s="6"/>
      <c r="D2" s="6"/>
      <c r="E2" s="6"/>
      <c r="F2" s="6"/>
      <c r="G2" s="7"/>
      <c r="K2" s="8"/>
      <c r="L2" s="8"/>
      <c r="P2" s="9">
        <v>2.5</v>
      </c>
      <c r="Q2" s="10">
        <v>12</v>
      </c>
      <c r="R2" s="2" t="s">
        <v>49</v>
      </c>
      <c r="S2" s="10">
        <v>4</v>
      </c>
    </row>
    <row r="3" ht="14.45" customHeight="1" spans="2:19">
      <c r="B3" s="11" t="s">
        <v>2</v>
      </c>
      <c r="C3" s="12"/>
      <c r="E3" s="13" t="s">
        <v>14</v>
      </c>
      <c r="F3" s="13"/>
      <c r="G3" s="13"/>
      <c r="K3" t="str">
        <f>C3&amp;"|"&amp;C4</f>
        <v>|</v>
      </c>
      <c r="L3" t="e">
        <f>VLOOKUP(K3,R1:S11,2,1)</f>
        <v>#N/A</v>
      </c>
      <c r="P3" s="9">
        <v>2.5</v>
      </c>
      <c r="Q3" s="10">
        <v>14</v>
      </c>
      <c r="R3" s="2" t="s">
        <v>50</v>
      </c>
      <c r="S3" s="10">
        <v>2.38</v>
      </c>
    </row>
    <row r="4" ht="15" spans="2:19">
      <c r="B4" s="11" t="s">
        <v>51</v>
      </c>
      <c r="C4" s="12"/>
      <c r="E4" s="14"/>
      <c r="F4" s="14"/>
      <c r="G4" s="14"/>
      <c r="P4" s="9">
        <v>2.5</v>
      </c>
      <c r="Q4" s="10">
        <v>16</v>
      </c>
      <c r="R4" s="2" t="s">
        <v>49</v>
      </c>
      <c r="S4" s="10">
        <v>1.4</v>
      </c>
    </row>
    <row r="5" ht="15" spans="2:19">
      <c r="B5" s="11" t="s">
        <v>27</v>
      </c>
      <c r="C5" s="12"/>
      <c r="E5" s="14"/>
      <c r="F5" s="14"/>
      <c r="G5" s="14"/>
      <c r="P5" s="9">
        <v>5</v>
      </c>
      <c r="Q5" s="10">
        <v>12</v>
      </c>
      <c r="R5" s="2" t="s">
        <v>52</v>
      </c>
      <c r="S5" s="10">
        <v>2.85</v>
      </c>
    </row>
    <row r="6" ht="15" spans="2:19">
      <c r="B6" s="11" t="s">
        <v>53</v>
      </c>
      <c r="C6" s="12"/>
      <c r="E6" s="14"/>
      <c r="F6" s="14"/>
      <c r="G6" s="14"/>
      <c r="P6" s="9">
        <v>5</v>
      </c>
      <c r="Q6" s="10">
        <v>14</v>
      </c>
      <c r="R6" s="2" t="s">
        <v>54</v>
      </c>
      <c r="S6" s="10">
        <v>1.15</v>
      </c>
    </row>
    <row r="7" ht="15" spans="2:19">
      <c r="B7" s="11" t="s">
        <v>55</v>
      </c>
      <c r="C7" s="12"/>
      <c r="E7" s="14"/>
      <c r="F7" s="14"/>
      <c r="G7" s="14"/>
      <c r="K7" s="1">
        <v>2.5</v>
      </c>
      <c r="L7" s="1">
        <v>12</v>
      </c>
      <c r="P7" s="9">
        <v>5</v>
      </c>
      <c r="Q7" s="10">
        <v>16</v>
      </c>
      <c r="R7" s="2" t="s">
        <v>56</v>
      </c>
      <c r="S7" s="10">
        <v>0.8</v>
      </c>
    </row>
    <row r="8" ht="15" spans="2:19">
      <c r="K8" s="1">
        <v>5</v>
      </c>
      <c r="L8" s="1">
        <v>14</v>
      </c>
      <c r="P8" s="9">
        <v>8</v>
      </c>
      <c r="Q8" s="10">
        <v>12</v>
      </c>
      <c r="R8" s="2" t="s">
        <v>57</v>
      </c>
      <c r="S8" s="10">
        <v>1.35</v>
      </c>
    </row>
    <row r="9" ht="15" spans="2:19">
      <c r="B9" s="15" t="s">
        <v>58</v>
      </c>
      <c r="C9" s="16"/>
      <c r="K9" s="1">
        <v>8</v>
      </c>
      <c r="L9" s="1">
        <v>16</v>
      </c>
      <c r="P9" s="9">
        <v>8</v>
      </c>
      <c r="Q9" s="10">
        <v>14</v>
      </c>
      <c r="R9" s="2" t="s">
        <v>59</v>
      </c>
      <c r="S9" s="10">
        <v>0.9</v>
      </c>
    </row>
    <row r="10" ht="15" spans="2:19">
      <c r="B10" s="17" t="s">
        <v>60</v>
      </c>
      <c r="C10" s="18" t="e">
        <f>(C5*C6)*L3</f>
        <v>#N/A</v>
      </c>
      <c r="D10" s="19" t="s">
        <v>61</v>
      </c>
      <c r="K10" s="1">
        <v>10</v>
      </c>
      <c r="P10" s="9">
        <v>10</v>
      </c>
      <c r="Q10" s="10">
        <v>12</v>
      </c>
      <c r="R10" s="2" t="s">
        <v>62</v>
      </c>
      <c r="S10" s="10">
        <v>1</v>
      </c>
    </row>
    <row r="11" ht="15" spans="2:19">
      <c r="B11" s="20" t="s">
        <v>63</v>
      </c>
      <c r="C11" s="21" t="e">
        <f>C10*C7</f>
        <v>#N/A</v>
      </c>
      <c r="D11" s="19" t="s">
        <v>61</v>
      </c>
      <c r="P11" s="9">
        <v>10</v>
      </c>
      <c r="Q11" s="10">
        <v>14</v>
      </c>
      <c r="R11" s="2" t="s">
        <v>64</v>
      </c>
      <c r="S11" s="10">
        <v>0.65</v>
      </c>
    </row>
    <row r="20" spans="17:19">
      <c r="Q20" s="1">
        <v>76.2</v>
      </c>
      <c r="S20" s="1">
        <v>0.8</v>
      </c>
    </row>
    <row r="21" spans="17:19">
      <c r="Q21" s="1">
        <v>80</v>
      </c>
      <c r="S21" s="1">
        <f>(Q21*S20)/Q20</f>
        <v>0.83989501312336</v>
      </c>
    </row>
  </sheetData>
  <sheetProtection algorithmName="SHA-512" hashValue="D7JmtlPAjUry/7l/5+6cXKgLiNqeksBUlgDPn87nJmSGqXmp51RpsrY1fUka3cZZmuUpgiflM0QGIu7Gg9lmmg==" saltValue="bTE5FNvkrzOW7QVW48gUpw==" spinCount="100000" sheet="1" selectLockedCells="1" objects="1" scenarios="1"/>
  <mergeCells count="3">
    <mergeCell ref="B2:G2"/>
    <mergeCell ref="B9:C9"/>
    <mergeCell ref="E3:G7"/>
  </mergeCells>
  <dataValidations count="2">
    <dataValidation type="list" allowBlank="1" showInputMessage="1" showErrorMessage="1" sqref="C3">
      <formula1>$K$7:$K$10</formula1>
    </dataValidation>
    <dataValidation type="list" allowBlank="1" showInputMessage="1" showErrorMessage="1" sqref="C4">
      <formula1>$L$7:$L$9</formula1>
    </dataValidation>
  </dataValidations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PRAZO DE PRODUÇÃO</vt:lpstr>
      <vt:lpstr>MATERIAIS PARA MURETA</vt:lpstr>
      <vt:lpstr>PESO ALAMBRADO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Marcio Lima</cp:lastModifiedBy>
  <dcterms:created xsi:type="dcterms:W3CDTF">2024-10-17T03:31:00Z</dcterms:created>
  <dcterms:modified xsi:type="dcterms:W3CDTF">2026-05-29T16:59:28Z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1C47C6C2B06141AAA26E8F6976E36054_13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